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min\Dropbox\2. Armin\1-Personal\CGU\IST-303\wk5\"/>
    </mc:Choice>
  </mc:AlternateContent>
  <workbookProtection workbookPassword="B126" lockStructure="1"/>
  <bookViews>
    <workbookView xWindow="0" yWindow="0" windowWidth="23040" windowHeight="8904" activeTab="1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AA5" i="4" l="1"/>
  <c r="AA4" i="4"/>
  <c r="AI5" i="4"/>
  <c r="AI4" i="4"/>
  <c r="AQ5" i="4"/>
  <c r="AQ4" i="4"/>
  <c r="AY5" i="4"/>
  <c r="AY4" i="4"/>
  <c r="BG5" i="4"/>
  <c r="BG4" i="4"/>
  <c r="X4" i="4"/>
  <c r="X5" i="4"/>
  <c r="BD4" i="4"/>
  <c r="BD5" i="4"/>
  <c r="AG4" i="4"/>
  <c r="AG5" i="4"/>
  <c r="J3" i="4"/>
  <c r="T5" i="4"/>
  <c r="T4" i="4"/>
  <c r="G3" i="4"/>
  <c r="AV4" i="4"/>
  <c r="AV5" i="4"/>
  <c r="Y4" i="4"/>
  <c r="Y5" i="4"/>
  <c r="AO5" i="4"/>
  <c r="AO4" i="4"/>
  <c r="Z5" i="4"/>
  <c r="Z4" i="4"/>
  <c r="AX5" i="4"/>
  <c r="AX4" i="4"/>
  <c r="C3" i="4"/>
  <c r="AB5" i="4"/>
  <c r="AB4" i="4"/>
  <c r="AZ5" i="4"/>
  <c r="AZ4" i="4"/>
  <c r="M3" i="4"/>
  <c r="U5" i="4"/>
  <c r="U4" i="4"/>
  <c r="AC5" i="4"/>
  <c r="AC4" i="4"/>
  <c r="AK5" i="4"/>
  <c r="AK4" i="4"/>
  <c r="AS5" i="4"/>
  <c r="AS4" i="4"/>
  <c r="BA5" i="4"/>
  <c r="BA4" i="4"/>
  <c r="BI5" i="4"/>
  <c r="BI4" i="4"/>
  <c r="AF4" i="4"/>
  <c r="AF5" i="4"/>
  <c r="I3" i="4"/>
  <c r="AW4" i="4"/>
  <c r="AW5" i="4"/>
  <c r="AP5" i="4"/>
  <c r="AP4" i="4"/>
  <c r="K3" i="4"/>
  <c r="E3" i="4"/>
  <c r="V5" i="4"/>
  <c r="V4" i="4"/>
  <c r="AL5" i="4"/>
  <c r="AL4" i="4"/>
  <c r="AT5" i="4"/>
  <c r="AT4" i="4"/>
  <c r="BB5" i="4"/>
  <c r="BB4" i="4"/>
  <c r="BJ5" i="4"/>
  <c r="BJ4" i="4"/>
  <c r="P3" i="4"/>
  <c r="AN4" i="4"/>
  <c r="AN5" i="4"/>
  <c r="Q3" i="4"/>
  <c r="BE4" i="4"/>
  <c r="BE5" i="4"/>
  <c r="R3" i="4"/>
  <c r="AH5" i="4"/>
  <c r="AH4" i="4"/>
  <c r="BF5" i="4"/>
  <c r="BF4" i="4"/>
  <c r="L3" i="4"/>
  <c r="AJ5" i="4"/>
  <c r="AJ4" i="4"/>
  <c r="AR5" i="4"/>
  <c r="AR4" i="4"/>
  <c r="BH5" i="4"/>
  <c r="BH4" i="4"/>
  <c r="D3" i="4"/>
  <c r="N3" i="4"/>
  <c r="AD5" i="4"/>
  <c r="AD4" i="4"/>
  <c r="F3" i="4"/>
  <c r="O3" i="4"/>
  <c r="W5" i="4"/>
  <c r="W4" i="4"/>
  <c r="AE4" i="4"/>
  <c r="AE5" i="4"/>
  <c r="AM4" i="4"/>
  <c r="AM5" i="4"/>
  <c r="AU4" i="4"/>
  <c r="AU5" i="4"/>
  <c r="BC5" i="4"/>
  <c r="BC4" i="4"/>
  <c r="H3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M4" i="4"/>
  <c r="I4" i="4"/>
  <c r="E4" i="4"/>
  <c r="Q4" i="4"/>
  <c r="F4" i="4"/>
  <c r="J4" i="4"/>
  <c r="C4" i="4"/>
  <c r="L4" i="4"/>
  <c r="D4" i="4"/>
  <c r="O4" i="4"/>
  <c r="N4" i="4"/>
  <c r="K4" i="4"/>
  <c r="H4" i="4"/>
  <c r="R4" i="4"/>
  <c r="P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<sst xmlns="http://schemas.openxmlformats.org/spreadsheetml/2006/main" count="9" uniqueCount="9">
  <si>
    <t>Planned Effort</t>
  </si>
  <si>
    <t>Date</t>
  </si>
  <si>
    <t>Hours Remaining</t>
  </si>
  <si>
    <t>Day 0</t>
  </si>
  <si>
    <t>Burndown Chart</t>
  </si>
  <si>
    <t>Completed Tasks</t>
  </si>
  <si>
    <t>Remaining Tasks</t>
  </si>
  <si>
    <t>Customize the Legend</t>
  </si>
  <si>
    <t>Task / Story / Sprints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</si>
</sst>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5" borderId="0" xfId="0" applyFont="1" applyFill="1"/>
    <xf numFmtId="0" fontId="3" fillId="4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0" fillId="6" borderId="0" xfId="0" applyFill="1" applyAlignment="1">
      <alignment wrapText="1"/>
    </xf>
    <xf numFmtId="0" fontId="0" fillId="6" borderId="0" xfId="0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4-416C-A60A-D51B2744F1B2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4-416C-A60A-D51B2744F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6-4EDB-A839-E801DB70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6-4EDB-A839-E801DB70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Dynamic PyStroke</a:t>
            </a:r>
          </a:p>
          <a:p>
            <a:pPr>
              <a:defRPr/>
            </a:pPr>
            <a:r>
              <a:rPr lang="en-US" b="1"/>
              <a:t>Burndown Chart</a:t>
            </a:r>
          </a:p>
          <a:p>
            <a:pPr>
              <a:defRPr/>
            </a:pPr>
            <a:r>
              <a:rPr lang="en-US" b="1"/>
              <a:t>Iterations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v>Days Remaining</c:v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1-45C5-9691-9340A07E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1-45C5-9691-9340A07E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/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You can customize</a:t>
          </a:r>
          <a:r>
            <a:rPr lang="en-US" sz="1100" b="1" baseline="0"/>
            <a:t> your Legend. For example, Planned Effort can be Planned Burndown, Planned Stories.....</a:t>
          </a:r>
          <a:endParaRPr lang="en-US" sz="1100" b="1"/>
        </a:p>
      </xdr:txBody>
    </xdr:sp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opLeftCell="A23" workbookViewId="0">
      <selection activeCell="L37" sqref="L37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0" t="s">
        <v>4</v>
      </c>
      <c r="E1" s="11"/>
      <c r="F1" s="11"/>
      <c r="G1" s="11"/>
      <c r="H1" s="11"/>
      <c r="I1" s="11"/>
      <c r="J1" s="12"/>
      <c r="L1" s="9" t="s">
        <v>7</v>
      </c>
    </row>
    <row r="2" spans="4:12" x14ac:dyDescent="0.3">
      <c r="D2" s="11"/>
      <c r="E2" s="11"/>
      <c r="F2" s="11"/>
      <c r="G2" s="11"/>
      <c r="H2" s="11"/>
      <c r="I2" s="11"/>
      <c r="J2" s="12"/>
      <c r="L2" s="1" t="s">
        <v>0</v>
      </c>
    </row>
    <row r="3" spans="4:12" x14ac:dyDescent="0.3">
      <c r="L3" s="1" t="s">
        <v>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abSelected="1" topLeftCell="B1" workbookViewId="0">
      <pane ySplit="2" topLeftCell="A3" activePane="bottomLeft" state="frozen"/>
      <selection pane="bottomLeft" activeCell="J7" sqref="J7"/>
    </sheetView>
  </sheetViews>
  <sheetFormatPr defaultColWidth="0" defaultRowHeight="14.4" zeroHeight="1" x14ac:dyDescent="0.3"/>
  <cols>
    <col min="1" max="1" width="19.6640625" customWidth="1"/>
    <col min="2" max="2" width="13.88671875" customWidth="1"/>
    <col min="3" max="3" width="9.44140625" bestFit="1" customWidth="1"/>
    <col min="4" max="6" width="9.109375" customWidth="1"/>
    <col min="7" max="10" width="9.77734375" bestFit="1" customWidth="1"/>
    <col min="11" max="13" width="9.44140625" bestFit="1" customWidth="1"/>
    <col min="14" max="62" width="9.109375" customWidth="1"/>
    <col min="63" max="16384" width="9.109375" hidden="1"/>
  </cols>
  <sheetData>
    <row r="1" spans="1:62" ht="60" customHeight="1" x14ac:dyDescent="0.3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/>
      <c r="O1" s="15"/>
      <c r="P1" s="15"/>
      <c r="Q1" s="15"/>
      <c r="R1" s="15"/>
      <c r="S1" s="15"/>
      <c r="T1" s="12"/>
    </row>
    <row r="2" spans="1:62" s="1" customFormat="1" x14ac:dyDescent="0.3">
      <c r="A2" s="5" t="s">
        <v>8</v>
      </c>
      <c r="B2" s="5" t="str">
        <f>IF('Burndown Chart'!$L$2="","Planned Effort",'Burndown Chart'!$L$2)</f>
        <v>Planned Effort</v>
      </c>
      <c r="C2" s="5">
        <v>43747</v>
      </c>
      <c r="D2" s="5">
        <v>43754</v>
      </c>
      <c r="E2" s="5">
        <v>43761</v>
      </c>
      <c r="F2" s="5">
        <v>43768</v>
      </c>
      <c r="G2" s="5">
        <v>43775</v>
      </c>
      <c r="H2" s="5">
        <v>43782</v>
      </c>
      <c r="I2" s="5">
        <v>43789</v>
      </c>
      <c r="J2" s="5">
        <v>43796</v>
      </c>
      <c r="K2" s="5">
        <v>43803</v>
      </c>
      <c r="L2" s="5">
        <v>43810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3">
      <c r="B3">
        <v>7</v>
      </c>
      <c r="C3" s="16">
        <v>5</v>
      </c>
      <c r="D3" s="16">
        <v>2</v>
      </c>
      <c r="E3" s="3">
        <v>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3">
      <c r="B4">
        <v>1</v>
      </c>
      <c r="C4" s="3">
        <v>1</v>
      </c>
      <c r="D4" s="16">
        <v>1</v>
      </c>
      <c r="E4" s="3">
        <v>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3">
      <c r="B5">
        <v>1</v>
      </c>
      <c r="C5" s="3">
        <v>1</v>
      </c>
      <c r="D5" s="16">
        <v>1</v>
      </c>
      <c r="E5" s="3">
        <v>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3">
      <c r="B6">
        <v>1</v>
      </c>
      <c r="C6" s="3">
        <v>1</v>
      </c>
      <c r="D6" s="16">
        <v>1</v>
      </c>
      <c r="E6" s="3">
        <v>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3">
      <c r="B7">
        <v>5</v>
      </c>
      <c r="C7" s="3">
        <v>5</v>
      </c>
      <c r="D7" s="3">
        <v>5</v>
      </c>
      <c r="E7" s="16">
        <v>5</v>
      </c>
      <c r="F7" s="3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3">
      <c r="B8">
        <v>5</v>
      </c>
      <c r="C8" s="3">
        <v>5</v>
      </c>
      <c r="D8" s="3">
        <v>5</v>
      </c>
      <c r="E8" s="3">
        <v>5</v>
      </c>
      <c r="F8" s="16">
        <v>5</v>
      </c>
      <c r="G8" s="3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3">
      <c r="B9">
        <v>10</v>
      </c>
      <c r="C9" s="3">
        <v>10</v>
      </c>
      <c r="D9" s="3">
        <v>10</v>
      </c>
      <c r="E9" s="3">
        <v>10</v>
      </c>
      <c r="F9" s="3">
        <v>10</v>
      </c>
      <c r="G9" s="16">
        <v>5</v>
      </c>
      <c r="H9" s="16">
        <v>5</v>
      </c>
      <c r="I9" s="3">
        <v>0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3"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 s="17">
        <v>2</v>
      </c>
      <c r="J10" s="3"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3">
      <c r="B11">
        <v>3</v>
      </c>
      <c r="C11">
        <v>3</v>
      </c>
      <c r="D11">
        <v>3</v>
      </c>
      <c r="E11">
        <v>3</v>
      </c>
      <c r="F11">
        <v>3</v>
      </c>
      <c r="G11">
        <v>3</v>
      </c>
      <c r="H11">
        <v>3</v>
      </c>
      <c r="I11" s="17">
        <v>3</v>
      </c>
      <c r="J11" s="3">
        <v>0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3">
      <c r="B12">
        <v>4</v>
      </c>
      <c r="C12">
        <v>4</v>
      </c>
      <c r="D12">
        <v>4</v>
      </c>
      <c r="E12">
        <v>4</v>
      </c>
      <c r="F12">
        <v>4</v>
      </c>
      <c r="G12">
        <v>4</v>
      </c>
      <c r="H12">
        <v>4</v>
      </c>
      <c r="I12">
        <v>4</v>
      </c>
      <c r="J12" s="17">
        <v>4</v>
      </c>
      <c r="K12" s="3">
        <v>0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3">
      <c r="B13">
        <v>3</v>
      </c>
      <c r="C13">
        <v>3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 s="17">
        <v>1</v>
      </c>
      <c r="K13" s="17">
        <v>2</v>
      </c>
      <c r="L13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3"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 s="17">
        <v>3</v>
      </c>
      <c r="L14" s="17">
        <v>0</v>
      </c>
      <c r="M14" s="3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3">
      <c r="B15">
        <v>3</v>
      </c>
      <c r="C15">
        <v>3</v>
      </c>
      <c r="D15">
        <v>3</v>
      </c>
      <c r="E15">
        <v>3</v>
      </c>
      <c r="F15">
        <v>3</v>
      </c>
      <c r="G15">
        <v>3</v>
      </c>
      <c r="H15">
        <v>3</v>
      </c>
      <c r="I15">
        <v>3</v>
      </c>
      <c r="J15">
        <v>3</v>
      </c>
      <c r="K15">
        <v>3</v>
      </c>
      <c r="L15" s="17">
        <v>0</v>
      </c>
      <c r="M15" s="3">
        <v>0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3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3:62" x14ac:dyDescent="0.3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3:62" x14ac:dyDescent="0.3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3:62" x14ac:dyDescent="0.3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3:62" x14ac:dyDescent="0.3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3:62" x14ac:dyDescent="0.3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3:62" x14ac:dyDescent="0.3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3:62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3:62" x14ac:dyDescent="0.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3:62" x14ac:dyDescent="0.3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3:62" x14ac:dyDescent="0.3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3:62" x14ac:dyDescent="0.3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3:62" x14ac:dyDescent="0.3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3:62" x14ac:dyDescent="0.3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3:62" x14ac:dyDescent="0.3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3:62" x14ac:dyDescent="0.3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3:62" x14ac:dyDescent="0.3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3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3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3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3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3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3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3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3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3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3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3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3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3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3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3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3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3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3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3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3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3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3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3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3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3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3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3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3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3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3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3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3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3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3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3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3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3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3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3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3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3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3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3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3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3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3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3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3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3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3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3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3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3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3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3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3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3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3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3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3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3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3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3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3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3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3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3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3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3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3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3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3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3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3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3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3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3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3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3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3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3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3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3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3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3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3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3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3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3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3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3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3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3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3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3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3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3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3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3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3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3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3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3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3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3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3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3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3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3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3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3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3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3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3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3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3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3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3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3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3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3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3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3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3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3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3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3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3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3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3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3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3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3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3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3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3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3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3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3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3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3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3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3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3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3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3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3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3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3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3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3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3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 C10:I11 C12:J12 C13:L15">
      <formula1>0</formula1>
    </dataValidation>
    <dataValidation type="custom" showInputMessage="1" showErrorMessage="1" errorTitle="Input Error" error="Read the Validations Rules to Input Right Data" sqref="C3:I9 J3:J11 M3:BJ202 K3:L12 C16:L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4.4" x14ac:dyDescent="0.3"/>
  <cols>
    <col min="1" max="1" width="16" style="1" bestFit="1" customWidth="1"/>
    <col min="2" max="2" width="9.44140625" style="2" customWidth="1"/>
    <col min="3" max="62" width="9.109375" customWidth="1"/>
    <col min="63" max="16384" width="9.109375" hidden="1"/>
  </cols>
  <sheetData>
    <row r="1" spans="1:62" s="1" customFormat="1" x14ac:dyDescent="0.3">
      <c r="A1" s="1" t="s">
        <v>1</v>
      </c>
      <c r="B1" s="1" t="s">
        <v>3</v>
      </c>
      <c r="C1" s="8">
        <f>IF(Input!C$2="","",Input!C$2)</f>
        <v>43747</v>
      </c>
      <c r="D1" s="8">
        <f>IF(Input!D$2="","",Input!D$2)</f>
        <v>43754</v>
      </c>
      <c r="E1" s="8">
        <f>IF(Input!E$2="","",Input!E$2)</f>
        <v>43761</v>
      </c>
      <c r="F1" s="8">
        <f>IF(Input!F$2="","",Input!F$2)</f>
        <v>43768</v>
      </c>
      <c r="G1" s="8">
        <f>IF(Input!G$2="","",Input!G$2)</f>
        <v>43775</v>
      </c>
      <c r="H1" s="8">
        <f>IF(Input!H$2="","",Input!H$2)</f>
        <v>43782</v>
      </c>
      <c r="I1" s="8">
        <f>IF(Input!I$2="","",Input!I$2)</f>
        <v>43789</v>
      </c>
      <c r="J1" s="8">
        <f>IF(Input!J$2="","",Input!J$2)</f>
        <v>43796</v>
      </c>
      <c r="K1" s="8">
        <f>IF(Input!K$2="","",Input!K$2)</f>
        <v>43803</v>
      </c>
      <c r="L1" s="8">
        <f>IF(Input!L$2="","",Input!L$2)</f>
        <v>43810</v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3">
      <c r="A2" s="6" t="str">
        <f>IF('Burndown Chart'!$L$2="","Planned Effort",'Burndown Chart'!$L$2)</f>
        <v>Planned Effort</v>
      </c>
      <c r="B2" s="7">
        <f>SUM(Input!$B$3:$B$202)</f>
        <v>50</v>
      </c>
      <c r="C2" s="4">
        <f t="shared" ref="C2:AH2" si="0">IF(C$1="","",B$2-$B$2/(SUMPRODUCT(--($C$1:$BJ$1&lt;&gt;""))))</f>
        <v>45</v>
      </c>
      <c r="D2" s="4">
        <f t="shared" si="0"/>
        <v>40</v>
      </c>
      <c r="E2" s="4">
        <f t="shared" si="0"/>
        <v>35</v>
      </c>
      <c r="F2" s="4">
        <f t="shared" si="0"/>
        <v>30</v>
      </c>
      <c r="G2" s="4">
        <f t="shared" si="0"/>
        <v>25</v>
      </c>
      <c r="H2" s="4">
        <f t="shared" si="0"/>
        <v>20</v>
      </c>
      <c r="I2" s="4">
        <f t="shared" si="0"/>
        <v>15</v>
      </c>
      <c r="J2" s="4">
        <f t="shared" si="0"/>
        <v>10</v>
      </c>
      <c r="K2" s="4">
        <f t="shared" si="0"/>
        <v>5</v>
      </c>
      <c r="L2" s="4">
        <f t="shared" si="0"/>
        <v>0</v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3">
      <c r="A3" s="6" t="str">
        <f>IF('Burndown Chart'!$L$3="","Hours Remaining",'Burndown Chart'!$L$3)</f>
        <v>Hours Remaining</v>
      </c>
      <c r="B3" s="7">
        <f>SUM(Input!$B$3:$B$202)</f>
        <v>50</v>
      </c>
      <c r="C3" s="4">
        <f>IF(C$1="","",SUM(Input!C$3:C$202))</f>
        <v>48</v>
      </c>
      <c r="D3" s="4">
        <f>IF(D$1="","",SUM(Input!D$3:D$202))</f>
        <v>45</v>
      </c>
      <c r="E3" s="4">
        <f>IF(E$1="","",SUM(Input!E$3:E$202))</f>
        <v>40</v>
      </c>
      <c r="F3" s="4">
        <f>IF(F$1="","",SUM(Input!F$3:F$202))</f>
        <v>35</v>
      </c>
      <c r="G3" s="4">
        <f>IF(G$1="","",SUM(Input!G$3:G$202))</f>
        <v>25</v>
      </c>
      <c r="H3" s="4">
        <f>IF(H$1="","",SUM(Input!H$3:H$202))</f>
        <v>25</v>
      </c>
      <c r="I3" s="4">
        <f>IF(I$1="","",SUM(Input!I$3:I$202))</f>
        <v>20</v>
      </c>
      <c r="J3" s="4">
        <f>IF(J$1="","",SUM(Input!J$3:J$202))</f>
        <v>13</v>
      </c>
      <c r="K3" s="4">
        <f>IF(K$1="","",SUM(Input!K$3:K$202))</f>
        <v>8</v>
      </c>
      <c r="L3" s="4">
        <f>IF(L$1="","",SUM(Input!L$3:L$202))</f>
        <v>0</v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3">
      <c r="A4" s="1" t="s">
        <v>5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4</v>
      </c>
      <c r="F4">
        <f ca="1">IF(F$1="","",CountCTs(Input!F$3:F$202))</f>
        <v>1</v>
      </c>
      <c r="G4">
        <f ca="1">IF(G$1="","",CountCTs(Input!G$3:G$202))</f>
        <v>1</v>
      </c>
      <c r="H4">
        <f ca="1">IF(H$1="","",CountCTs(Input!H$3:H$202))</f>
        <v>0</v>
      </c>
      <c r="I4">
        <f ca="1">IF(I$1="","",CountCTs(Input!I$3:I$202))</f>
        <v>1</v>
      </c>
      <c r="J4">
        <f ca="1">IF(J$1="","",CountCTs(Input!J$3:J$202))</f>
        <v>2</v>
      </c>
      <c r="K4">
        <f ca="1">IF(K$1="","",CountCTs(Input!K$3:K$202))</f>
        <v>1</v>
      </c>
      <c r="L4">
        <f ca="1">IF(L$1="","",CountCTs(Input!L$3:L$202))</f>
        <v>3</v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3">
      <c r="A5" s="1" t="s">
        <v>6</v>
      </c>
      <c r="B5" s="2">
        <f>SUMPRODUCT(--(Input!$A$3:$A$202&lt;&gt;""))</f>
        <v>0</v>
      </c>
      <c r="C5">
        <f ca="1">IF(C$1="","",B$5-C4)</f>
        <v>0</v>
      </c>
      <c r="D5">
        <f t="shared" ref="D5:BJ5" ca="1" si="2">IF(D$1="","",C$5-D4)</f>
        <v>0</v>
      </c>
      <c r="E5">
        <f t="shared" ca="1" si="2"/>
        <v>-4</v>
      </c>
      <c r="F5">
        <f t="shared" ca="1" si="2"/>
        <v>-5</v>
      </c>
      <c r="G5">
        <f t="shared" ca="1" si="2"/>
        <v>-6</v>
      </c>
      <c r="H5">
        <f t="shared" ca="1" si="2"/>
        <v>-6</v>
      </c>
      <c r="I5">
        <f t="shared" ca="1" si="2"/>
        <v>-7</v>
      </c>
      <c r="J5">
        <f t="shared" ca="1" si="2"/>
        <v>-9</v>
      </c>
      <c r="K5">
        <f t="shared" ca="1" si="2"/>
        <v>-10</v>
      </c>
      <c r="L5">
        <f t="shared" ca="1" si="2"/>
        <v>-13</v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3">
      <c r="A7"/>
    </row>
    <row r="8" spans="1:62" x14ac:dyDescent="0.3">
      <c r="A8"/>
    </row>
    <row r="9" spans="1:62" x14ac:dyDescent="0.3">
      <c r="A9"/>
    </row>
    <row r="10" spans="1:62" x14ac:dyDescent="0.3">
      <c r="A10"/>
    </row>
    <row r="11" spans="1:62" x14ac:dyDescent="0.3">
      <c r="A11"/>
    </row>
    <row r="12" spans="1:62" x14ac:dyDescent="0.3">
      <c r="A12"/>
    </row>
    <row r="13" spans="1:62" x14ac:dyDescent="0.3">
      <c r="A13"/>
    </row>
    <row r="14" spans="1:62" x14ac:dyDescent="0.3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Armin</cp:lastModifiedBy>
  <cp:lastPrinted>2016-02-23T08:42:38Z</cp:lastPrinted>
  <dcterms:created xsi:type="dcterms:W3CDTF">2016-02-23T08:35:30Z</dcterms:created>
  <dcterms:modified xsi:type="dcterms:W3CDTF">2019-10-10T02:59:20Z</dcterms:modified>
</cp:coreProperties>
</file>